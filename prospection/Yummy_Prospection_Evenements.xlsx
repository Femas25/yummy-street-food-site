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 d'emploi" sheetId="1" state="visible" r:id="rId1"/>
    <sheet xmlns:r="http://schemas.openxmlformats.org/officeDocument/2006/relationships" name="Tableau de bord" sheetId="2" state="visible" r:id="rId2"/>
    <sheet xmlns:r="http://schemas.openxmlformats.org/officeDocument/2006/relationships" name="Prospects" sheetId="3" state="visible" r:id="rId3"/>
    <sheet xmlns:r="http://schemas.openxmlformats.org/officeDocument/2006/relationships" name="Modèles" sheetId="4" state="visible" r:id="rId4"/>
    <sheet xmlns:r="http://schemas.openxmlformats.org/officeDocument/2006/relationships" name="Calendrier" sheetId="5" state="visible" r:id="rId5"/>
    <sheet xmlns:r="http://schemas.openxmlformats.org/officeDocument/2006/relationships" name="Canaux" sheetId="6" state="visible" r:id="rId6"/>
    <sheet xmlns:r="http://schemas.openxmlformats.org/officeDocument/2006/relationships" name="Devis" sheetId="7" state="visible" r:id="rId7"/>
  </sheets>
  <definedNames>
    <definedName name="_xlnm._FilterDatabase" localSheetId="2" hidden="1">'Prospects'!$A$1:$Q$150</definedName>
  </definedNames>
  <calcPr calcId="124519" fullCalcOnLoad="1"/>
</workbook>
</file>

<file path=xl/styles.xml><?xml version="1.0" encoding="utf-8"?>
<styleSheet xmlns="http://schemas.openxmlformats.org/spreadsheetml/2006/main">
  <numFmts count="2">
    <numFmt numFmtId="164" formatCode="DD/MM/YYYY"/>
    <numFmt numFmtId="165" formatCode="#,##0.00 &quot;€&quot;"/>
  </numFmts>
  <fonts count="8">
    <font>
      <name val="Calibri"/>
      <family val="2"/>
      <color theme="1"/>
      <sz val="11"/>
      <scheme val="minor"/>
    </font>
    <font>
      <b val="1"/>
      <color rgb="00083E23"/>
      <sz val="16"/>
    </font>
    <font>
      <b val="1"/>
      <color rgb="000C7C5E"/>
      <sz val="12"/>
    </font>
    <font>
      <b val="1"/>
      <color rgb="00C0392B"/>
      <sz val="12"/>
    </font>
    <font>
      <b val="1"/>
      <color rgb="00FFFFFF"/>
    </font>
    <font>
      <b val="1"/>
      <color rgb="00083E23"/>
      <sz val="14"/>
    </font>
    <font>
      <b val="1"/>
      <color rgb="000C7C5E"/>
    </font>
    <font>
      <b val="1"/>
      <sz val="12"/>
    </font>
  </fonts>
  <fills count="4">
    <fill>
      <patternFill/>
    </fill>
    <fill>
      <patternFill patternType="gray125"/>
    </fill>
    <fill>
      <patternFill patternType="solid">
        <fgColor rgb="00083E23"/>
      </patternFill>
    </fill>
    <fill>
      <patternFill patternType="solid">
        <fgColor rgb="00FFF3B0"/>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5" fillId="0" borderId="0" pivotButton="0" quotePrefix="0" xfId="0"/>
    <xf numFmtId="0" fontId="4" fillId="2" borderId="0" pivotButton="0" quotePrefix="0" xfId="0"/>
    <xf numFmtId="0" fontId="6" fillId="0" borderId="0" pivotButton="0" quotePrefix="0" xfId="0"/>
    <xf numFmtId="9" fontId="0" fillId="0" borderId="0" pivotButton="0" quotePrefix="0" xfId="0"/>
    <xf numFmtId="0" fontId="4" fillId="2" borderId="0" applyAlignment="1" pivotButton="0" quotePrefix="0" xfId="0">
      <alignment vertical="center" wrapText="1"/>
    </xf>
    <xf numFmtId="164" fontId="0" fillId="0" borderId="0" pivotButton="0" quotePrefix="0" xfId="0"/>
    <xf numFmtId="0" fontId="0" fillId="3" borderId="0" pivotButton="0" quotePrefix="0" xfId="0"/>
    <xf numFmtId="0" fontId="2" fillId="0" borderId="0" pivotButton="0" quotePrefix="0" xfId="0"/>
    <xf numFmtId="165" fontId="7" fillId="0" borderId="0" pivotButton="0" quotePrefix="0" xfId="0"/>
  </cellXfs>
  <cellStyles count="1">
    <cellStyle name="Normal" xfId="0" builtinId="0" hidden="0"/>
  </cellStyles>
  <dxfs count="4">
    <dxf>
      <fill>
        <patternFill patternType="solid">
          <fgColor rgb="00F5B7B1"/>
        </patternFill>
      </fill>
    </dxf>
    <dxf>
      <fill>
        <patternFill patternType="solid">
          <fgColor rgb="00C8E6A0"/>
        </patternFill>
      </fill>
    </dxf>
    <dxf>
      <fill>
        <patternFill patternType="solid">
          <fgColor rgb="00FFF3B0"/>
        </patternFill>
      </fill>
    </dxf>
    <dxf>
      <font>
        <color rgb="00999999"/>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20" customWidth="1" min="1" max="1"/>
  </cols>
  <sheetData>
    <row r="1">
      <c r="A1" s="1" t="inlineStr">
        <is>
          <t>YUMMY STREET FOOD — Outil de prospection des événements privés</t>
        </is>
      </c>
    </row>
    <row r="2">
      <c r="A2" s="2" t="inlineStr"/>
    </row>
    <row r="3">
      <c r="A3" s="3" t="inlineStr">
        <is>
          <t>LA ROUTINE (30 minutes par semaine, le lundi)</t>
        </is>
      </c>
    </row>
    <row r="4">
      <c r="A4" s="2" t="inlineStr">
        <is>
          <t>1. Onglet « Prospects » : filtrer Statut = « Brouillon prêt ». Les brouillons sont déjà dans Gmail (dossier Brouillons) : relire, personnaliser une phrase, envoyer.</t>
        </is>
      </c>
    </row>
    <row r="5">
      <c r="A5" s="2" t="inlineStr">
        <is>
          <t>2. Après l'envoi : passer le statut à « Contacté » et noter la date dans « Date 1er contact ». La colonne « Prochaine relance » se calcule toute seule (J+7, puis J+14).</t>
        </is>
      </c>
    </row>
    <row r="6">
      <c r="A6" s="2" t="inlineStr">
        <is>
          <t>3. Les lignes en ROUGE sont à relancer aujourd'hui : utiliser le modèle « Relance » de l'onglet « Modèles », ou mieux, un appel de 2 minutes (script dans « Modèles »).</t>
        </is>
      </c>
    </row>
    <row r="7">
      <c r="A7" s="2" t="inlineStr">
        <is>
          <t>4. Chaque réponse positive : statut « Intéressé », puis proposer une dégustation des starters (c'est ce qui convertit le mieux).</t>
        </is>
      </c>
    </row>
    <row r="8">
      <c r="A8" s="2" t="inlineStr">
        <is>
          <t>5. Onglet « Devis » : calculer le prix en 1 minute, puis passer le statut à « Devis envoyé » avec le montant.</t>
        </is>
      </c>
    </row>
    <row r="9">
      <c r="A9" s="2" t="inlineStr">
        <is>
          <t>6. Après chaque événement : envoyer le modèle « Après l'événement » (avis Google + parrainage). Un client content = 2 prospects.</t>
        </is>
      </c>
    </row>
    <row r="10">
      <c r="A10" s="2" t="inlineStr"/>
    </row>
    <row r="11">
      <c r="A11" s="3" t="inlineStr">
        <is>
          <t>LES 3 RÈGLES QUI FONT SIGNER</t>
        </is>
      </c>
    </row>
    <row r="12">
      <c r="A12" s="2" t="inlineStr">
        <is>
          <t>• Les prescripteurs d'abord : un lieu de réception ou un wedding planner qui vous recommande vaut 10 mails à des particuliers.</t>
        </is>
      </c>
    </row>
    <row r="13">
      <c r="A13" s="2" t="inlineStr">
        <is>
          <t>• Faire goûter : un plateau de starters déposé à un lieu de réception ou à une RH ouvre plus de portes qu'un PDF.</t>
        </is>
      </c>
    </row>
    <row r="14">
      <c r="A14" s="2" t="inlineStr">
        <is>
          <t>• Relancer : la plupart des réponses arrivent après une relance. Deux relances maximum, puis « Pas maintenant » (on recontacte dans 6 mois).</t>
        </is>
      </c>
    </row>
    <row r="15">
      <c r="A15" s="2" t="inlineStr"/>
    </row>
    <row r="16">
      <c r="A16" s="3" t="inlineStr">
        <is>
          <t>LES OUTILS</t>
        </is>
      </c>
    </row>
    <row r="17">
      <c r="A17" s="2" t="inlineStr">
        <is>
          <t>• Page de devis du site : https://yummy-streetfood.be/evenements-prives (ajouter ?src=nom-campagne au lien pour savoir d'où viennent les demandes).</t>
        </is>
      </c>
    </row>
    <row r="18">
      <c r="A18" s="2" t="inlineStr">
        <is>
          <t>• Plaquette PDF à joindre aux mails : https://yummy-streetfood.be/plaquette-evenements-yummy.pdf</t>
        </is>
      </c>
    </row>
    <row r="19">
      <c r="A19" s="2" t="inlineStr">
        <is>
          <t>• Trouver les coordonnées d'un nouveau prospect : python3 prospection/chercher_prospects.py --site https://site-du-prospect.be</t>
        </is>
      </c>
    </row>
    <row r="20">
      <c r="A20" s="2" t="inlineStr">
        <is>
          <t>• Claude peut refaire toute la boucle chaque semaine (trouver de nouveaux prospects, les ajouter ici, préparer les brouillons Gmail). Rien n'est jamais envoyé sans vous.</t>
        </is>
      </c>
    </row>
    <row r="21">
      <c r="A21" s="2" t="inlineStr"/>
    </row>
    <row r="22">
      <c r="A22" s="4" t="inlineStr">
        <is>
          <t>À COMPLÉTER PAR VOUS</t>
        </is>
      </c>
    </row>
    <row r="23">
      <c r="A23" s="2" t="inlineStr">
        <is>
          <t>• Onglet « Devis » : vos prix (plat, boissons, déplacement, minimum de prestation). Seul le prix des starters (3 €) est connu à ce jour.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s>
  <sheetData>
    <row r="1">
      <c r="A1" s="5" t="inlineStr">
        <is>
          <t>TABLEAU DE BORD</t>
        </is>
      </c>
    </row>
    <row r="2">
      <c r="A2" s="6" t="inlineStr">
        <is>
          <t>Statut</t>
        </is>
      </c>
      <c r="B2" s="6" t="inlineStr">
        <is>
          <t>Nombre</t>
        </is>
      </c>
    </row>
    <row r="3">
      <c r="A3" t="inlineStr">
        <is>
          <t>À contacter</t>
        </is>
      </c>
      <c r="B3">
        <f>COUNTIF(Prospects!L:L,"À contacter")</f>
        <v/>
      </c>
    </row>
    <row r="4">
      <c r="A4" t="inlineStr">
        <is>
          <t>Brouillon prêt</t>
        </is>
      </c>
      <c r="B4">
        <f>COUNTIF(Prospects!L:L,"Brouillon prêt")</f>
        <v/>
      </c>
    </row>
    <row r="5">
      <c r="A5" t="inlineStr">
        <is>
          <t>Contacté</t>
        </is>
      </c>
      <c r="B5">
        <f>COUNTIF(Prospects!L:L,"Contacté")</f>
        <v/>
      </c>
    </row>
    <row r="6">
      <c r="A6" t="inlineStr">
        <is>
          <t>Relancé</t>
        </is>
      </c>
      <c r="B6">
        <f>COUNTIF(Prospects!L:L,"Relancé")</f>
        <v/>
      </c>
    </row>
    <row r="7">
      <c r="A7" t="inlineStr">
        <is>
          <t>Intéressé</t>
        </is>
      </c>
      <c r="B7">
        <f>COUNTIF(Prospects!L:L,"Intéressé")</f>
        <v/>
      </c>
    </row>
    <row r="8">
      <c r="A8" t="inlineStr">
        <is>
          <t>RDV / dégustation</t>
        </is>
      </c>
      <c r="B8">
        <f>COUNTIF(Prospects!L:L,"RDV / dégustation")</f>
        <v/>
      </c>
    </row>
    <row r="9">
      <c r="A9" t="inlineStr">
        <is>
          <t>Devis envoyé</t>
        </is>
      </c>
      <c r="B9">
        <f>COUNTIF(Prospects!L:L,"Devis envoyé")</f>
        <v/>
      </c>
    </row>
    <row r="10">
      <c r="A10" t="inlineStr">
        <is>
          <t>Gagné</t>
        </is>
      </c>
      <c r="B10">
        <f>COUNTIF(Prospects!L:L,"Gagné")</f>
        <v/>
      </c>
    </row>
    <row r="11">
      <c r="A11" t="inlineStr">
        <is>
          <t>Perdu</t>
        </is>
      </c>
      <c r="B11">
        <f>COUNTIF(Prospects!L:L,"Perdu")</f>
        <v/>
      </c>
    </row>
    <row r="12">
      <c r="A12" t="inlineStr">
        <is>
          <t>Pas maintenant</t>
        </is>
      </c>
      <c r="B12">
        <f>COUNTIF(Prospects!L:L,"Pas maintenant")</f>
        <v/>
      </c>
    </row>
    <row r="14">
      <c r="A14" s="7" t="inlineStr">
        <is>
          <t>Relances à faire aujourd'hui</t>
        </is>
      </c>
      <c r="B14">
        <f>COUNTIFS(Prospects!N:N,"&lt;="&amp;TODAY(),Prospects!N:N,"&lt;&gt;")</f>
        <v/>
      </c>
    </row>
    <row r="15">
      <c r="A15" s="7" t="inlineStr">
        <is>
          <t>Taux de signature (gagnés / contactés)</t>
        </is>
      </c>
      <c r="B15" s="8">
        <f>IFERROR(B10/(COUNTA(Prospects!M2:M150)),0)</f>
        <v/>
      </c>
    </row>
    <row r="16">
      <c r="A16" s="7" t="inlineStr">
        <is>
          <t>CA signé (€)</t>
        </is>
      </c>
      <c r="B16">
        <f>SUMIF(Prospects!L:L,"Gagné",Prospects!P:P)</f>
        <v/>
      </c>
    </row>
    <row r="17">
      <c r="A17" s="7" t="inlineStr">
        <is>
          <t>CA en devis (€)</t>
        </is>
      </c>
      <c r="B17">
        <f>SUMIF(Prospects!L:L,"Devis envoyé",Prospects!P:P)</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6"/>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7" customWidth="1" min="3" max="3"/>
    <col width="30" customWidth="1" min="4" max="4"/>
    <col width="20" customWidth="1" min="5" max="5"/>
    <col width="18" customWidth="1" min="6" max="6"/>
    <col width="30" customWidth="1" min="7" max="7"/>
    <col width="17" customWidth="1" min="8" max="8"/>
    <col width="28" customWidth="1" min="9" max="9"/>
    <col width="60" customWidth="1" min="10" max="10"/>
    <col width="18" customWidth="1" min="11" max="11"/>
    <col width="16" customWidth="1" min="12" max="12"/>
    <col width="13" customWidth="1" min="13" max="13"/>
    <col width="13" customWidth="1" min="14" max="14"/>
    <col width="13" customWidth="1" min="15" max="15"/>
    <col width="12" customWidth="1" min="16" max="16"/>
    <col width="40" customWidth="1" min="17" max="17"/>
  </cols>
  <sheetData>
    <row r="1" ht="30" customHeight="1">
      <c r="A1" s="9" t="inlineStr">
        <is>
          <t>ID</t>
        </is>
      </c>
      <c r="B1" s="9" t="inlineStr">
        <is>
          <t>Priorité</t>
        </is>
      </c>
      <c r="C1" s="9" t="inlineStr">
        <is>
          <t>Segment</t>
        </is>
      </c>
      <c r="D1" s="9" t="inlineStr">
        <is>
          <t>Organisation</t>
        </is>
      </c>
      <c r="E1" s="9" t="inlineStr">
        <is>
          <t>Commune</t>
        </is>
      </c>
      <c r="F1" s="9" t="inlineStr">
        <is>
          <t>Contact</t>
        </is>
      </c>
      <c r="G1" s="9" t="inlineStr">
        <is>
          <t>Email</t>
        </is>
      </c>
      <c r="H1" s="9" t="inlineStr">
        <is>
          <t>Téléphone</t>
        </is>
      </c>
      <c r="I1" s="9" t="inlineStr">
        <is>
          <t>Site / source</t>
        </is>
      </c>
      <c r="J1" s="9" t="inlineStr">
        <is>
          <t>Pourquoi eux (angle d'approche)</t>
        </is>
      </c>
      <c r="K1" s="9" t="inlineStr">
        <is>
          <t>Canal conseillé</t>
        </is>
      </c>
      <c r="L1" s="9" t="inlineStr">
        <is>
          <t>Statut</t>
        </is>
      </c>
      <c r="M1" s="9" t="inlineStr">
        <is>
          <t>Date 1er contact</t>
        </is>
      </c>
      <c r="N1" s="9" t="inlineStr">
        <is>
          <t>Prochaine relance</t>
        </is>
      </c>
      <c r="O1" s="9" t="inlineStr">
        <is>
          <t>Date événement</t>
        </is>
      </c>
      <c r="P1" s="9" t="inlineStr">
        <is>
          <t>Montant devis (€)</t>
        </is>
      </c>
      <c r="Q1" s="9" t="inlineStr">
        <is>
          <t>Notes / historique</t>
        </is>
      </c>
    </row>
    <row r="2">
      <c r="A2" t="inlineStr">
        <is>
          <t>P01</t>
        </is>
      </c>
      <c r="B2" t="inlineStr">
        <is>
          <t>A</t>
        </is>
      </c>
      <c r="C2" t="inlineStr">
        <is>
          <t>Lieu de réception</t>
        </is>
      </c>
      <c r="D2" t="inlineStr">
        <is>
          <t>Domaine du Vieux Château</t>
        </is>
      </c>
      <c r="E2" t="inlineStr">
        <is>
          <t>Villers-devant-Orval (Florenville)</t>
        </is>
      </c>
      <c r="F2" t="inlineStr"/>
      <c r="G2" t="inlineStr">
        <is>
          <t>vieuxchateauvillers@gmail.com</t>
        </is>
      </c>
      <c r="H2" t="inlineStr">
        <is>
          <t>+32 478 16 15 02</t>
        </is>
      </c>
      <c r="I2" t="inlineStr">
        <is>
          <t>https://domaineduvieuxchateau.be</t>
        </is>
      </c>
      <c r="J2" s="2" t="inlineStr">
        <is>
          <t>Salle 150 pers., mariages/communions/anniversaires, parc réservable pour cocktails et vin d'honneur : nos starters à 3 € collent parfaitement. Proposer d'être sur leur liste de prestataires recommandés.</t>
        </is>
      </c>
      <c r="K2" t="inlineStr">
        <is>
          <t>Email + visite</t>
        </is>
      </c>
      <c r="L2" t="inlineStr">
        <is>
          <t>Brouillon prêt</t>
        </is>
      </c>
      <c r="M2" s="10" t="n"/>
      <c r="N2" s="10">
        <f>ARRAYFORMULA(IF(M2:M="","",IF(REGEXMATCH(L2:L,"Gagné|Perdu|Pas maintenant"),"",IF(L2:L="Relancé",M2:M+14,M2:M+7))))</f>
        <v/>
      </c>
      <c r="O2" s="10" t="n"/>
      <c r="Q2" s="2" t="inlineStr"/>
    </row>
    <row r="3">
      <c r="A3" t="inlineStr">
        <is>
          <t>P02</t>
        </is>
      </c>
      <c r="B3" t="inlineStr">
        <is>
          <t>A</t>
        </is>
      </c>
      <c r="C3" t="inlineStr">
        <is>
          <t>Lieu de réception</t>
        </is>
      </c>
      <c r="D3" t="inlineStr">
        <is>
          <t>Château du Pont d'Oye</t>
        </is>
      </c>
      <c r="E3" t="inlineStr">
        <is>
          <t>Habay</t>
        </is>
      </c>
      <c r="F3" t="inlineStr"/>
      <c r="G3" t="inlineStr">
        <is>
          <t>bienvenue@chateaudupontdoye.com</t>
        </is>
      </c>
      <c r="H3" t="inlineStr">
        <is>
          <t>+32 63 22 94 46</t>
        </is>
      </c>
      <c r="I3" t="inlineStr">
        <is>
          <t>https://www.chateaudupontdoye.be</t>
        </is>
      </c>
      <c r="J3" s="2" t="inlineStr">
        <is>
          <t>Séminaires et mariages jusqu'à 250 pers. dans un parc de 15 ha : proposer pauses/lunch séminaire en extérieur et snack de fin de soirée pour les mariages.</t>
        </is>
      </c>
      <c r="K3" t="inlineStr">
        <is>
          <t>Email + appel</t>
        </is>
      </c>
      <c r="L3" t="inlineStr">
        <is>
          <t>Brouillon prêt</t>
        </is>
      </c>
      <c r="M3" s="10" t="n"/>
      <c r="N3" s="10" t="n"/>
      <c r="O3" s="10" t="n"/>
      <c r="Q3" s="2" t="inlineStr"/>
    </row>
    <row r="4">
      <c r="A4" t="inlineStr">
        <is>
          <t>P03</t>
        </is>
      </c>
      <c r="B4" t="inlineStr">
        <is>
          <t>A</t>
        </is>
      </c>
      <c r="C4" t="inlineStr">
        <is>
          <t>Lieu de réception</t>
        </is>
      </c>
      <c r="D4" t="inlineStr">
        <is>
          <t>Bois d'Arlon Golf &amp; Resort / Château du Bois d'Arlon</t>
        </is>
      </c>
      <c r="E4" t="inlineStr">
        <is>
          <t>Arlon</t>
        </is>
      </c>
      <c r="F4" t="inlineStr"/>
      <c r="G4" t="inlineStr">
        <is>
          <t>hello@hotelboisdarlon.be</t>
        </is>
      </c>
      <c r="H4" t="inlineStr">
        <is>
          <t>+32 63 21 16 60</t>
        </is>
      </c>
      <c r="I4" t="inlineStr">
        <is>
          <t>https://www.boisdarlon.be</t>
        </is>
      </c>
      <c r="J4" s="2" t="inlineStr">
        <is>
          <t>Château loué pour mariages, fêtes d'entreprise, séminaires, sans restaurant propre selon la presse : besoin de prestataires culinaires. Accueille aussi le Salon du mariage d'Arlon.</t>
        </is>
      </c>
      <c r="K4" t="inlineStr">
        <is>
          <t>Email + appel</t>
        </is>
      </c>
      <c r="L4" t="inlineStr">
        <is>
          <t>Brouillon prêt</t>
        </is>
      </c>
      <c r="M4" s="10" t="n"/>
      <c r="N4" s="10" t="n"/>
      <c r="O4" s="10" t="n"/>
      <c r="Q4" s="2" t="inlineStr"/>
    </row>
    <row r="5">
      <c r="A5" t="inlineStr">
        <is>
          <t>P04</t>
        </is>
      </c>
      <c r="B5" t="inlineStr">
        <is>
          <t>A</t>
        </is>
      </c>
      <c r="C5" t="inlineStr">
        <is>
          <t>Gîte de groupe</t>
        </is>
      </c>
      <c r="D5" t="inlineStr">
        <is>
          <t>Gîtes-Gaume (Manoir de la Rulette, Zythogite)</t>
        </is>
      </c>
      <c r="E5" t="inlineStr">
        <is>
          <t>Tintigny</t>
        </is>
      </c>
      <c r="F5" t="inlineStr"/>
      <c r="G5" t="inlineStr">
        <is>
          <t>reservations@gites-gaume.be</t>
        </is>
      </c>
      <c r="H5" t="inlineStr">
        <is>
          <t>+32 497 17 54 23</t>
        </is>
      </c>
      <c r="I5" t="inlineStr">
        <is>
          <t>https://gites-gaume.be</t>
        </is>
      </c>
      <c r="J5" s="2" t="inlineStr">
        <is>
          <t>Gîtes 8 à 30 pers. avec salles de réception : anniversaires, EVJF, réunions de famille. Proposer une option « soirée food truck » à mettre dans leurs mails de confirmation de réservation.</t>
        </is>
      </c>
      <c r="K5" t="inlineStr">
        <is>
          <t>Email</t>
        </is>
      </c>
      <c r="L5" t="inlineStr">
        <is>
          <t>Brouillon prêt</t>
        </is>
      </c>
      <c r="M5" s="10" t="n"/>
      <c r="N5" s="10" t="n"/>
      <c r="O5" s="10" t="n"/>
      <c r="Q5" s="2" t="inlineStr"/>
    </row>
    <row r="6">
      <c r="A6" t="inlineStr">
        <is>
          <t>P05</t>
        </is>
      </c>
      <c r="B6" t="inlineStr">
        <is>
          <t>A</t>
        </is>
      </c>
      <c r="C6" t="inlineStr">
        <is>
          <t>Commune / salles</t>
        </is>
      </c>
      <c r="D6" t="inlineStr">
        <is>
          <t>Commune de Virton – salles polyvalentes</t>
        </is>
      </c>
      <c r="E6" t="inlineStr">
        <is>
          <t>Virton</t>
        </is>
      </c>
      <c r="F6" t="inlineStr">
        <is>
          <t>Pierre-Édouard Burg</t>
        </is>
      </c>
      <c r="G6" t="inlineStr">
        <is>
          <t>pierre-edouard.burg@virton.be</t>
        </is>
      </c>
      <c r="H6" t="inlineStr">
        <is>
          <t>+32 63 57 06 90</t>
        </is>
      </c>
      <c r="I6" t="inlineStr">
        <is>
          <t>https://www.virton.be/vivre-a-virton/salles-polyvalentes-1</t>
        </is>
      </c>
      <c r="J6" s="2" t="inlineStr">
        <is>
          <t>Les personnes qui louent une salle communale organisent une fête privée : demander à glisser notre plaquette dans le dossier de location et à être cité pour les événements communaux.</t>
        </is>
      </c>
      <c r="K6" t="inlineStr">
        <is>
          <t>Email + rdv</t>
        </is>
      </c>
      <c r="L6" t="inlineStr">
        <is>
          <t>Brouillon prêt</t>
        </is>
      </c>
      <c r="M6" s="10" t="n"/>
      <c r="N6" s="10" t="n"/>
      <c r="O6" s="10" t="n"/>
      <c r="Q6" s="2" t="inlineStr"/>
    </row>
    <row r="7">
      <c r="A7" t="inlineStr">
        <is>
          <t>P06</t>
        </is>
      </c>
      <c r="B7" t="inlineStr">
        <is>
          <t>A</t>
        </is>
      </c>
      <c r="C7" t="inlineStr">
        <is>
          <t>Wedding planner</t>
        </is>
      </c>
      <c r="D7" t="inlineStr">
        <is>
          <t>Christophe Wedding Planner</t>
        </is>
      </c>
      <c r="E7" t="inlineStr">
        <is>
          <t>Arlon</t>
        </is>
      </c>
      <c r="F7" t="inlineStr">
        <is>
          <t>Christophe</t>
        </is>
      </c>
      <c r="G7" t="inlineStr">
        <is>
          <t>info@christophewedding.com</t>
        </is>
      </c>
      <c r="H7" t="inlineStr">
        <is>
          <t>+32 494 38 52 92</t>
        </is>
      </c>
      <c r="I7" t="inlineStr">
        <is>
          <t>https://christophewedding.com</t>
        </is>
      </c>
      <c r="J7" s="2" t="inlineStr">
        <is>
          <t>Accompagnement esthétique de mariages : une remorque vert émeraude + bowls fleuris = un vrai élément de décor. Proposer un partenariat (il recommande, on le recommande).</t>
        </is>
      </c>
      <c r="K7" t="inlineStr">
        <is>
          <t>Email + rdv café</t>
        </is>
      </c>
      <c r="L7" t="inlineStr">
        <is>
          <t>Brouillon prêt</t>
        </is>
      </c>
      <c r="M7" s="10" t="n"/>
      <c r="N7" s="10" t="n"/>
      <c r="O7" s="10" t="n"/>
      <c r="Q7" s="2" t="inlineStr"/>
    </row>
    <row r="8">
      <c r="A8" t="inlineStr">
        <is>
          <t>P07</t>
        </is>
      </c>
      <c r="B8" t="inlineStr">
        <is>
          <t>A</t>
        </is>
      </c>
      <c r="C8" t="inlineStr">
        <is>
          <t>Wedding planner</t>
        </is>
      </c>
      <c r="D8" t="inlineStr">
        <is>
          <t>Alegria Weddings &amp; Events</t>
        </is>
      </c>
      <c r="E8" t="inlineStr">
        <is>
          <t>Bastogne (intervient à Arlon)</t>
        </is>
      </c>
      <c r="F8" t="inlineStr">
        <is>
          <t>Priscillia</t>
        </is>
      </c>
      <c r="G8" t="inlineStr"/>
      <c r="H8" t="inlineStr">
        <is>
          <t>+32 494 71 24 99</t>
        </is>
      </c>
      <c r="I8" t="inlineStr">
        <is>
          <t>https://www.alegria-weddings.com</t>
        </is>
      </c>
      <c r="J8" s="2" t="inlineStr">
        <is>
          <t>Mariages + anniversaires, Family Day, fêtes d'enfants : couvre tous nos segments. Pas d'email public fiable : appeler ou passer par le formulaire du site.</t>
        </is>
      </c>
      <c r="K8" t="inlineStr">
        <is>
          <t>Appel / formulaire</t>
        </is>
      </c>
      <c r="L8" t="inlineStr">
        <is>
          <t>À contacter</t>
        </is>
      </c>
      <c r="M8" s="10" t="n"/>
      <c r="N8" s="10" t="n"/>
      <c r="O8" s="10" t="n"/>
      <c r="Q8" s="2" t="inlineStr"/>
    </row>
    <row r="9">
      <c r="A9" t="inlineStr">
        <is>
          <t>P08</t>
        </is>
      </c>
      <c r="B9" t="inlineStr">
        <is>
          <t>A</t>
        </is>
      </c>
      <c r="C9" t="inlineStr">
        <is>
          <t>Réseau d'affaires</t>
        </is>
      </c>
      <c r="D9" t="inlineStr">
        <is>
          <t>ACIA – Association commerciale et industrielle d'Arlon</t>
        </is>
      </c>
      <c r="E9" t="inlineStr">
        <is>
          <t>Arlon</t>
        </is>
      </c>
      <c r="F9" t="inlineStr">
        <is>
          <t>Secrétariat</t>
        </is>
      </c>
      <c r="G9" t="inlineStr">
        <is>
          <t>secretariat@acia.be</t>
        </is>
      </c>
      <c r="H9" t="inlineStr">
        <is>
          <t>+32 63 22 47 97</t>
        </is>
      </c>
      <c r="I9" t="inlineStr">
        <is>
          <t>https://www.acia.be</t>
        </is>
      </c>
      <c r="J9" s="2" t="inlineStr">
        <is>
          <t>Organise le Salon du mariage d'Arlon (Château du Bois d'Arlon, novembre) : demander les conditions exposant / un stand dégustation des starters.</t>
        </is>
      </c>
      <c r="K9" t="inlineStr">
        <is>
          <t>Email + appel</t>
        </is>
      </c>
      <c r="L9" t="inlineStr">
        <is>
          <t>Brouillon prêt</t>
        </is>
      </c>
      <c r="M9" s="10" t="n"/>
      <c r="N9" s="10" t="n"/>
      <c r="O9" s="10" t="n"/>
      <c r="Q9" s="2" t="inlineStr"/>
    </row>
    <row r="10">
      <c r="A10" t="inlineStr">
        <is>
          <t>P09</t>
        </is>
      </c>
      <c r="B10" t="inlineStr">
        <is>
          <t>A</t>
        </is>
      </c>
      <c r="C10" t="inlineStr">
        <is>
          <t>Réseau d'affaires</t>
        </is>
      </c>
      <c r="D10" t="inlineStr">
        <is>
          <t>IDELUX (parcs d'activités)</t>
        </is>
      </c>
      <c r="E10" t="inlineStr">
        <is>
          <t>Arlon</t>
        </is>
      </c>
      <c r="F10" t="inlineStr">
        <is>
          <t>Nicolas Heynen (parc Virton-Latour)</t>
        </is>
      </c>
      <c r="G10" t="inlineStr">
        <is>
          <t>idelux@idelux.be</t>
        </is>
      </c>
      <c r="H10" t="inlineStr">
        <is>
          <t>+32 63 23 18 11</t>
        </is>
      </c>
      <c r="I10" t="inlineStr">
        <is>
          <t>https://www.idelux.be</t>
        </is>
      </c>
      <c r="J10" s="2" t="inlineStr">
        <is>
          <t>Gère les zonings (26 entreprises à Virton-Latour) : proposer un passage midi du truck dans le zoning, inaugurations, événements entreprises du parc.</t>
        </is>
      </c>
      <c r="K10" t="inlineStr">
        <is>
          <t>Email</t>
        </is>
      </c>
      <c r="L10" t="inlineStr">
        <is>
          <t>Brouillon prêt</t>
        </is>
      </c>
      <c r="M10" s="10" t="n"/>
      <c r="N10" s="10" t="n"/>
      <c r="O10" s="10" t="n"/>
      <c r="Q10" s="2" t="inlineStr"/>
    </row>
    <row r="11">
      <c r="A11" t="inlineStr">
        <is>
          <t>P10</t>
        </is>
      </c>
      <c r="B11" t="inlineStr">
        <is>
          <t>A</t>
        </is>
      </c>
      <c r="C11" t="inlineStr">
        <is>
          <t>Entreprise</t>
        </is>
      </c>
      <c r="D11" t="inlineStr">
        <is>
          <t>Jindal Films Europe Virton</t>
        </is>
      </c>
      <c r="E11" t="inlineStr">
        <is>
          <t>Latour (Virton)</t>
        </is>
      </c>
      <c r="F11" t="inlineStr">
        <is>
          <t>Service RH / communication</t>
        </is>
      </c>
      <c r="G11" t="inlineStr"/>
      <c r="H11" t="inlineStr"/>
      <c r="I11" t="inlineStr">
        <is>
          <t>https://www.jindalfilms.com</t>
        </is>
      </c>
      <c r="J11" s="2" t="inlineStr">
        <is>
          <t>200-499 personnes au zoning de Latour : fête du personnel, family day, journées sécurité, food truck midi pour les équipes. Chercher le/la responsable RH sur LinkedIn.</t>
        </is>
      </c>
      <c r="K11" t="inlineStr">
        <is>
          <t>LinkedIn RH + courrier</t>
        </is>
      </c>
      <c r="L11" t="inlineStr">
        <is>
          <t>À contacter</t>
        </is>
      </c>
      <c r="M11" s="10" t="n"/>
      <c r="N11" s="10" t="n"/>
      <c r="O11" s="10" t="n"/>
      <c r="Q11" s="2" t="inlineStr"/>
    </row>
    <row r="12">
      <c r="A12" t="inlineStr">
        <is>
          <t>P11</t>
        </is>
      </c>
      <c r="B12" t="inlineStr">
        <is>
          <t>A</t>
        </is>
      </c>
      <c r="C12" t="inlineStr">
        <is>
          <t>Entreprise</t>
        </is>
      </c>
      <c r="D12" t="inlineStr">
        <is>
          <t>Burgo Ardennes</t>
        </is>
      </c>
      <c r="E12" t="inlineStr">
        <is>
          <t>Harnoncourt (Rouvroy)</t>
        </is>
      </c>
      <c r="F12" t="inlineStr">
        <is>
          <t>Service RH / communication</t>
        </is>
      </c>
      <c r="G12" t="inlineStr"/>
      <c r="H12" t="inlineStr">
        <is>
          <t>+32 63 58 76 12</t>
        </is>
      </c>
      <c r="I12" t="inlineStr">
        <is>
          <t>https://www.burgo.com</t>
        </is>
      </c>
      <c r="J12" s="2" t="inlineStr">
        <is>
          <t>Grand employeur historique de la région (papeterie) : fête du personnel, family day, anniversaires d'ancienneté.</t>
        </is>
      </c>
      <c r="K12" t="inlineStr">
        <is>
          <t>LinkedIn RH + appel</t>
        </is>
      </c>
      <c r="L12" t="inlineStr">
        <is>
          <t>À contacter</t>
        </is>
      </c>
      <c r="M12" s="10" t="n"/>
      <c r="N12" s="10" t="n"/>
      <c r="O12" s="10" t="n"/>
      <c r="Q12" s="2" t="inlineStr"/>
    </row>
    <row r="13">
      <c r="A13" t="inlineStr">
        <is>
          <t>P12</t>
        </is>
      </c>
      <c r="B13" t="inlineStr">
        <is>
          <t>A</t>
        </is>
      </c>
      <c r="C13" t="inlineStr">
        <is>
          <t>Entreprise</t>
        </is>
      </c>
      <c r="D13" t="inlineStr">
        <is>
          <t>Vivalia (CHA Arlon / hôpital de Virton)</t>
        </is>
      </c>
      <c r="E13" t="inlineStr">
        <is>
          <t>Arlon / Virton</t>
        </is>
      </c>
      <c r="F13" t="inlineStr">
        <is>
          <t>Service RH / bien-être au travail</t>
        </is>
      </c>
      <c r="G13" t="inlineStr"/>
      <c r="H13" t="inlineStr">
        <is>
          <t>+32 63 55 15 00</t>
        </is>
      </c>
      <c r="I13" t="inlineStr">
        <is>
          <t>https://www.vivalia.be</t>
        </is>
      </c>
      <c r="J13" s="2" t="inlineStr">
        <is>
          <t>Fêtes du personnel, journées bien-être : une offre végétale, locale et équilibrée colle au secteur santé.</t>
        </is>
      </c>
      <c r="K13" t="inlineStr">
        <is>
          <t>LinkedIn RH + appel</t>
        </is>
      </c>
      <c r="L13" t="inlineStr">
        <is>
          <t>À contacter</t>
        </is>
      </c>
      <c r="M13" s="10" t="n"/>
      <c r="N13" s="10" t="n"/>
      <c r="O13" s="10" t="n"/>
      <c r="Q13" s="2" t="inlineStr"/>
    </row>
    <row r="14">
      <c r="A14" t="inlineStr">
        <is>
          <t>P13</t>
        </is>
      </c>
      <c r="B14" t="inlineStr">
        <is>
          <t>B</t>
        </is>
      </c>
      <c r="C14" t="inlineStr">
        <is>
          <t>Entreprise</t>
        </is>
      </c>
      <c r="D14" t="inlineStr">
        <is>
          <t>Ferrero Arlon</t>
        </is>
      </c>
      <c r="E14" t="inlineStr">
        <is>
          <t>Arlon</t>
        </is>
      </c>
      <c r="F14" t="inlineStr">
        <is>
          <t>Service RH</t>
        </is>
      </c>
      <c r="G14" t="inlineStr"/>
      <c r="H14" t="inlineStr"/>
      <c r="I14" t="inlineStr">
        <is>
          <t>https://www.ferrero.be</t>
        </is>
      </c>
      <c r="J14" s="2" t="inlineStr">
        <is>
          <t>Gros site de production : family day, fêtes d'équipe. Contact via LinkedIn RH.</t>
        </is>
      </c>
      <c r="K14" t="inlineStr">
        <is>
          <t>LinkedIn RH</t>
        </is>
      </c>
      <c r="L14" t="inlineStr">
        <is>
          <t>À contacter</t>
        </is>
      </c>
      <c r="M14" s="10" t="n"/>
      <c r="N14" s="10" t="n"/>
      <c r="O14" s="10" t="n"/>
      <c r="Q14" s="2" t="inlineStr"/>
    </row>
    <row r="15">
      <c r="A15" t="inlineStr">
        <is>
          <t>P14</t>
        </is>
      </c>
      <c r="B15" t="inlineStr">
        <is>
          <t>B</t>
        </is>
      </c>
      <c r="C15" t="inlineStr">
        <is>
          <t>Entreprise</t>
        </is>
      </c>
      <c r="D15" t="inlineStr">
        <is>
          <t>Mima Films</t>
        </is>
      </c>
      <c r="E15" t="inlineStr">
        <is>
          <t>Latour (Virton)</t>
        </is>
      </c>
      <c r="F15" t="inlineStr">
        <is>
          <t>Direction</t>
        </is>
      </c>
      <c r="G15" t="inlineStr"/>
      <c r="H15" t="inlineStr"/>
      <c r="I15" t="inlineStr">
        <is>
          <t>https://www.idelux.be/fr/virton-latour.html</t>
        </is>
      </c>
      <c r="J15" s="2" t="inlineStr">
        <is>
          <t>Zoning de Latour : à grouper avec IDELUX pour un passage midi.</t>
        </is>
      </c>
      <c r="K15" t="inlineStr">
        <is>
          <t>Visite sur place</t>
        </is>
      </c>
      <c r="L15" t="inlineStr">
        <is>
          <t>À contacter</t>
        </is>
      </c>
      <c r="M15" s="10" t="n"/>
      <c r="N15" s="10" t="n"/>
      <c r="O15" s="10" t="n"/>
      <c r="Q15" s="2" t="inlineStr"/>
    </row>
    <row r="16">
      <c r="A16" t="inlineStr">
        <is>
          <t>P15</t>
        </is>
      </c>
      <c r="B16" t="inlineStr">
        <is>
          <t>B</t>
        </is>
      </c>
      <c r="C16" t="inlineStr">
        <is>
          <t>Entreprise</t>
        </is>
      </c>
      <c r="D16" t="inlineStr">
        <is>
          <t>Palleterie François / Genpack</t>
        </is>
      </c>
      <c r="E16" t="inlineStr">
        <is>
          <t>Latour (Virton)</t>
        </is>
      </c>
      <c r="F16" t="inlineStr">
        <is>
          <t>Direction</t>
        </is>
      </c>
      <c r="G16" t="inlineStr"/>
      <c r="H16" t="inlineStr"/>
      <c r="I16" t="inlineStr">
        <is>
          <t>https://www.idelux.be/fr/virton-latour.html</t>
        </is>
      </c>
      <c r="J16" s="2" t="inlineStr">
        <is>
          <t>Zoning de Latour : fête du personnel, repas de fin d'année.</t>
        </is>
      </c>
      <c r="K16" t="inlineStr">
        <is>
          <t>Visite sur place</t>
        </is>
      </c>
      <c r="L16" t="inlineStr">
        <is>
          <t>À contacter</t>
        </is>
      </c>
      <c r="M16" s="10" t="n"/>
      <c r="N16" s="10" t="n"/>
      <c r="O16" s="10" t="n"/>
      <c r="Q16" s="2" t="inlineStr"/>
    </row>
    <row r="17">
      <c r="A17" t="inlineStr">
        <is>
          <t>P16</t>
        </is>
      </c>
      <c r="B17" t="inlineStr">
        <is>
          <t>B</t>
        </is>
      </c>
      <c r="C17" t="inlineStr">
        <is>
          <t>Entreprise</t>
        </is>
      </c>
      <c r="D17" t="inlineStr">
        <is>
          <t>Garage de la Vire (Peugeot)</t>
        </is>
      </c>
      <c r="E17" t="inlineStr">
        <is>
          <t>Latour (Virton)</t>
        </is>
      </c>
      <c r="F17" t="inlineStr">
        <is>
          <t>Direction / marketing</t>
        </is>
      </c>
      <c r="G17" t="inlineStr"/>
      <c r="H17" t="inlineStr"/>
      <c r="I17" t="inlineStr">
        <is>
          <t>https://www.idelux.be/fr/virton-latour.html</t>
        </is>
      </c>
      <c r="J17" s="2" t="inlineStr">
        <is>
          <t>Les concessions auto font des portes ouvertes (souvent en mars et en septembre) : un food truck attire du monde.</t>
        </is>
      </c>
      <c r="K17" t="inlineStr">
        <is>
          <t>Visite sur place</t>
        </is>
      </c>
      <c r="L17" t="inlineStr">
        <is>
          <t>À contacter</t>
        </is>
      </c>
      <c r="M17" s="10" t="n"/>
      <c r="N17" s="10" t="n"/>
      <c r="O17" s="10" t="n"/>
      <c r="Q17" s="2" t="inlineStr"/>
    </row>
    <row r="18">
      <c r="A18" t="inlineStr">
        <is>
          <t>P17</t>
        </is>
      </c>
      <c r="B18" t="inlineStr">
        <is>
          <t>B</t>
        </is>
      </c>
      <c r="C18" t="inlineStr">
        <is>
          <t>Entreprise</t>
        </is>
      </c>
      <c r="D18" t="inlineStr">
        <is>
          <t>Concessions auto parc Weyler (Audi / Mercedes / Volvo)</t>
        </is>
      </c>
      <c r="E18" t="inlineStr">
        <is>
          <t>Arlon</t>
        </is>
      </c>
      <c r="F18" t="inlineStr">
        <is>
          <t>Marketing</t>
        </is>
      </c>
      <c r="G18" t="inlineStr"/>
      <c r="H18" t="inlineStr"/>
      <c r="I18" t="inlineStr">
        <is>
          <t>https://www.idelux.be/fr/parc-dactivites-economiques-arlon-weyler</t>
        </is>
      </c>
      <c r="J18" s="2" t="inlineStr">
        <is>
          <t>Portes ouvertes et lancements de modèles : animation food truck.</t>
        </is>
      </c>
      <c r="K18" t="inlineStr">
        <is>
          <t>Visite sur place</t>
        </is>
      </c>
      <c r="L18" t="inlineStr">
        <is>
          <t>À contacter</t>
        </is>
      </c>
      <c r="M18" s="10" t="n"/>
      <c r="N18" s="10" t="n"/>
      <c r="O18" s="10" t="n"/>
      <c r="Q18" s="2" t="inlineStr"/>
    </row>
    <row r="19">
      <c r="A19" t="inlineStr">
        <is>
          <t>P18</t>
        </is>
      </c>
      <c r="B19" t="inlineStr">
        <is>
          <t>B</t>
        </is>
      </c>
      <c r="C19" t="inlineStr">
        <is>
          <t>Réseau d'affaires</t>
        </is>
      </c>
      <c r="D19" t="inlineStr">
        <is>
          <t>CCILB – Chambre de commerce du Luxembourg belge</t>
        </is>
      </c>
      <c r="E19" t="inlineStr">
        <is>
          <t>Libramont</t>
        </is>
      </c>
      <c r="F19" t="inlineStr">
        <is>
          <t>Mireille Claude</t>
        </is>
      </c>
      <c r="G19" t="inlineStr">
        <is>
          <t>info@akt-ccilb.be</t>
        </is>
      </c>
      <c r="H19" t="inlineStr">
        <is>
          <t>+32 61 29 30 40</t>
        </is>
      </c>
      <c r="I19" t="inlineStr">
        <is>
          <t>https://www.ccilb.be</t>
        </is>
      </c>
      <c r="J19" s="2" t="inlineStr">
        <is>
          <t>Soirées réseau et vœux de janvier (plus de 600 patrons) : se faire connaître des dirigeants, proposer le catering d'un afterwork.</t>
        </is>
      </c>
      <c r="K19" t="inlineStr">
        <is>
          <t>Email</t>
        </is>
      </c>
      <c r="L19" t="inlineStr">
        <is>
          <t>Brouillon prêt</t>
        </is>
      </c>
      <c r="M19" s="10" t="n"/>
      <c r="N19" s="10" t="n"/>
      <c r="O19" s="10" t="n"/>
      <c r="Q19" s="2" t="inlineStr"/>
    </row>
    <row r="20">
      <c r="A20" t="inlineStr">
        <is>
          <t>P19</t>
        </is>
      </c>
      <c r="B20" t="inlineStr">
        <is>
          <t>B</t>
        </is>
      </c>
      <c r="C20" t="inlineStr">
        <is>
          <t>Lieu de réception</t>
        </is>
      </c>
      <c r="D20" t="inlineStr">
        <is>
          <t>Château de Latour</t>
        </is>
      </c>
      <c r="E20" t="inlineStr">
        <is>
          <t>Latour (Virton)</t>
        </is>
      </c>
      <c r="F20" t="inlineStr"/>
      <c r="G20" t="inlineStr">
        <is>
          <t>info@chateaudelatour.be</t>
        </is>
      </c>
      <c r="H20" t="inlineStr">
        <is>
          <t>+32 63 57 83 52</t>
        </is>
      </c>
      <c r="I20" t="inlineStr">
        <is>
          <t>https://www.chateaudelatour.be</t>
        </is>
      </c>
      <c r="J20" s="2" t="inlineStr">
        <is>
          <t>Hôtel-restaurant avec terrasse : complément pour les grands groupes ou les fêtes en extérieur (pas en concurrence : proposer le snack de nuit).</t>
        </is>
      </c>
      <c r="K20" t="inlineStr">
        <is>
          <t>Appel</t>
        </is>
      </c>
      <c r="L20" t="inlineStr">
        <is>
          <t>Brouillon prêt</t>
        </is>
      </c>
      <c r="M20" s="10" t="n"/>
      <c r="N20" s="10" t="n"/>
      <c r="O20" s="10" t="n"/>
      <c r="Q20" s="2" t="inlineStr"/>
    </row>
    <row r="21">
      <c r="A21" t="inlineStr">
        <is>
          <t>P20</t>
        </is>
      </c>
      <c r="B21" t="inlineStr">
        <is>
          <t>B</t>
        </is>
      </c>
      <c r="C21" t="inlineStr">
        <is>
          <t>Lieu de réception</t>
        </is>
      </c>
      <c r="D21" t="inlineStr">
        <is>
          <t>Domaine du Château de Freux</t>
        </is>
      </c>
      <c r="E21" t="inlineStr">
        <is>
          <t>Freux (Libramont)</t>
        </is>
      </c>
      <c r="F21" t="inlineStr"/>
      <c r="G21" t="inlineStr"/>
      <c r="H21" t="inlineStr">
        <is>
          <t>+32 476 85 97 12</t>
        </is>
      </c>
      <c r="I21" t="inlineStr">
        <is>
          <t>https://www.domaineduchateaudefreux.be</t>
        </is>
      </c>
      <c r="J21" s="2" t="inlineStr">
        <is>
          <t>Jusqu'à 500 pers., privatisé le week-end : traiteurs extérieurs probables. Un peu loin (environ 45 min).</t>
        </is>
      </c>
      <c r="K21" t="inlineStr">
        <is>
          <t>Appel</t>
        </is>
      </c>
      <c r="L21" t="inlineStr">
        <is>
          <t>À contacter</t>
        </is>
      </c>
      <c r="M21" s="10" t="n"/>
      <c r="N21" s="10" t="n"/>
      <c r="O21" s="10" t="n"/>
      <c r="Q21" s="2" t="inlineStr"/>
    </row>
    <row r="22">
      <c r="A22" t="inlineStr">
        <is>
          <t>P21</t>
        </is>
      </c>
      <c r="B22" t="inlineStr">
        <is>
          <t>B</t>
        </is>
      </c>
      <c r="C22" t="inlineStr">
        <is>
          <t>Commune / salles</t>
        </is>
      </c>
      <c r="D22" t="inlineStr">
        <is>
          <t>Commune de Rouvroy – salle communale de Torgny</t>
        </is>
      </c>
      <c r="E22" t="inlineStr">
        <is>
          <t>Rouvroy</t>
        </is>
      </c>
      <c r="F22" t="inlineStr"/>
      <c r="G22" t="inlineStr">
        <is>
          <t>info@rouvroy.be</t>
        </is>
      </c>
      <c r="H22" t="inlineStr">
        <is>
          <t>+32 63 58 86 60</t>
        </is>
      </c>
      <c r="I22" t="inlineStr">
        <is>
          <t>https://www.rouvroy.be</t>
        </is>
      </c>
      <c r="J22" s="2" t="inlineStr">
        <is>
          <t>Salle louée pour fêtes privées à Torgny, le village le plus touristique de Gaume : plaquette dans le dossier de location.</t>
        </is>
      </c>
      <c r="K22" t="inlineStr">
        <is>
          <t>Email</t>
        </is>
      </c>
      <c r="L22" t="inlineStr">
        <is>
          <t>Brouillon prêt</t>
        </is>
      </c>
      <c r="M22" s="10" t="n"/>
      <c r="N22" s="10" t="n"/>
      <c r="O22" s="10" t="n"/>
      <c r="Q22" s="2" t="inlineStr"/>
    </row>
    <row r="23">
      <c r="A23" t="inlineStr">
        <is>
          <t>P22</t>
        </is>
      </c>
      <c r="B23" t="inlineStr">
        <is>
          <t>B</t>
        </is>
      </c>
      <c r="C23" t="inlineStr">
        <is>
          <t>Association</t>
        </is>
      </c>
      <c r="D23" t="inlineStr">
        <is>
          <t>Comité des Fêtes de Saint-Mard</t>
        </is>
      </c>
      <c r="E23" t="inlineStr">
        <is>
          <t>Saint-Mard (Virton)</t>
        </is>
      </c>
      <c r="F23" t="inlineStr"/>
      <c r="G23" t="inlineStr">
        <is>
          <t>comite.saintmard@gmail.com</t>
        </is>
      </c>
      <c r="H23" t="inlineStr">
        <is>
          <t>+32 472 07 68 95</t>
        </is>
      </c>
      <c r="I23" t="inlineStr">
        <is>
          <t>https://www.comitedesfetessaintmard.com</t>
        </is>
      </c>
      <c r="J23" s="2" t="inlineStr">
        <is>
          <t>Fêtes de village toute l'année : présence du truck + bouche-à-oreille vers les familles.</t>
        </is>
      </c>
      <c r="K23" t="inlineStr">
        <is>
          <t>Email / Facebook</t>
        </is>
      </c>
      <c r="L23" t="inlineStr">
        <is>
          <t>Brouillon prêt</t>
        </is>
      </c>
      <c r="M23" s="10" t="n"/>
      <c r="N23" s="10" t="n"/>
      <c r="O23" s="10" t="n"/>
      <c r="Q23" s="2" t="inlineStr"/>
    </row>
    <row r="24">
      <c r="A24" t="inlineStr">
        <is>
          <t>P23</t>
        </is>
      </c>
      <c r="B24" t="inlineStr">
        <is>
          <t>B</t>
        </is>
      </c>
      <c r="C24" t="inlineStr">
        <is>
          <t>Association</t>
        </is>
      </c>
      <c r="D24" t="inlineStr">
        <is>
          <t>Royal Comité des Fêtes de Virton</t>
        </is>
      </c>
      <c r="E24" t="inlineStr">
        <is>
          <t>Virton</t>
        </is>
      </c>
      <c r="F24" t="inlineStr"/>
      <c r="G24" t="inlineStr"/>
      <c r="H24" t="inlineStr"/>
      <c r="I24" t="inlineStr">
        <is>
          <t>https://www.facebook.com/RoyalComiteDesFetesDeVirton/</t>
        </is>
      </c>
      <c r="J24" s="2" t="inlineStr">
        <is>
          <t>Animation de la ville : être sur la liste des prestataires des événements.</t>
        </is>
      </c>
      <c r="K24" t="inlineStr">
        <is>
          <t>Message Facebook</t>
        </is>
      </c>
      <c r="L24" t="inlineStr">
        <is>
          <t>À contacter</t>
        </is>
      </c>
      <c r="M24" s="10" t="n"/>
      <c r="N24" s="10" t="n"/>
      <c r="O24" s="10" t="n"/>
      <c r="Q24" s="2" t="inlineStr"/>
    </row>
    <row r="25">
      <c r="A25" t="inlineStr">
        <is>
          <t>P24</t>
        </is>
      </c>
      <c r="B25" t="inlineStr">
        <is>
          <t>C</t>
        </is>
      </c>
      <c r="C25" t="inlineStr">
        <is>
          <t>Lieu de réception</t>
        </is>
      </c>
      <c r="D25" t="inlineStr">
        <is>
          <t>Le Jardin des Sens</t>
        </is>
      </c>
      <c r="E25" t="inlineStr">
        <is>
          <t>Neufchâteau</t>
        </is>
      </c>
      <c r="F25" t="inlineStr"/>
      <c r="G25" t="inlineStr"/>
      <c r="H25" t="inlineStr"/>
      <c r="I25" t="inlineStr">
        <is>
          <t>https://www.1001salles.com/mariage/le-jardin-des-sens.aspx</t>
        </is>
      </c>
      <c r="J25" s="2" t="inlineStr">
        <is>
          <t>Salle 280 pers. avec terrain clôturé de 55 ares : idéal pour un truck. Coordonnées à trouver.</t>
        </is>
      </c>
      <c r="K25" t="inlineStr">
        <is>
          <t>À rechercher</t>
        </is>
      </c>
      <c r="L25" t="inlineStr">
        <is>
          <t>À contacter</t>
        </is>
      </c>
      <c r="M25" s="10" t="n"/>
      <c r="N25" s="10" t="n"/>
      <c r="O25" s="10" t="n"/>
      <c r="Q25" s="2" t="inlineStr"/>
    </row>
    <row r="26">
      <c r="A26" t="inlineStr">
        <is>
          <t>P25</t>
        </is>
      </c>
      <c r="B26" t="inlineStr">
        <is>
          <t>C</t>
        </is>
      </c>
      <c r="C26" t="inlineStr">
        <is>
          <t>Commune / salles</t>
        </is>
      </c>
      <c r="D26" t="inlineStr">
        <is>
          <t>Communes voisines (Meix, Etalle, Musson, Saint-Léger, Tintigny)</t>
        </is>
      </c>
      <c r="E26" t="inlineStr">
        <is>
          <t>Gaume</t>
        </is>
      </c>
      <c r="F26" t="inlineStr"/>
      <c r="G26" t="inlineStr"/>
      <c r="H26" t="inlineStr"/>
      <c r="I26" t="inlineStr"/>
      <c r="J26" s="2" t="inlineStr">
        <is>
          <t>Même approche que Virton : plaquette pour les locataires de salles communales. Téléphones : Meix 063/57.80.51, Etalle 063/21.02.00, Musson 063/38.08.40, Saint-Léger 063/23.92.94, Tintigny 063/44.02.10.</t>
        </is>
      </c>
      <c r="K26" t="inlineStr">
        <is>
          <t>Appel</t>
        </is>
      </c>
      <c r="L26" t="inlineStr">
        <is>
          <t>À contacter</t>
        </is>
      </c>
      <c r="M26" s="10" t="n"/>
      <c r="N26" s="10" t="n"/>
      <c r="O26" s="10" t="n"/>
      <c r="Q26" s="2" t="inlineStr"/>
    </row>
    <row r="27">
      <c r="J27" s="2" t="n"/>
      <c r="M27" s="10" t="n"/>
      <c r="N27" s="10" t="n"/>
      <c r="O27" s="10" t="n"/>
      <c r="Q27" s="2" t="n"/>
    </row>
    <row r="28">
      <c r="J28" s="2" t="n"/>
      <c r="M28" s="10" t="n"/>
      <c r="N28" s="10" t="n"/>
      <c r="O28" s="10" t="n"/>
      <c r="Q28" s="2" t="n"/>
    </row>
    <row r="29">
      <c r="J29" s="2" t="n"/>
      <c r="M29" s="10" t="n"/>
      <c r="N29" s="10" t="n"/>
      <c r="O29" s="10" t="n"/>
      <c r="Q29" s="2" t="n"/>
    </row>
    <row r="30">
      <c r="J30" s="2" t="n"/>
      <c r="M30" s="10" t="n"/>
      <c r="N30" s="10" t="n"/>
      <c r="O30" s="10" t="n"/>
      <c r="Q30" s="2" t="n"/>
    </row>
    <row r="31">
      <c r="J31" s="2" t="n"/>
      <c r="M31" s="10" t="n"/>
      <c r="N31" s="10" t="n"/>
      <c r="O31" s="10" t="n"/>
      <c r="Q31" s="2" t="n"/>
    </row>
    <row r="32">
      <c r="J32" s="2" t="n"/>
      <c r="M32" s="10" t="n"/>
      <c r="N32" s="10" t="n"/>
      <c r="O32" s="10" t="n"/>
      <c r="Q32" s="2" t="n"/>
    </row>
    <row r="33">
      <c r="J33" s="2" t="n"/>
      <c r="M33" s="10" t="n"/>
      <c r="N33" s="10" t="n"/>
      <c r="O33" s="10" t="n"/>
      <c r="Q33" s="2" t="n"/>
    </row>
    <row r="34">
      <c r="J34" s="2" t="n"/>
      <c r="M34" s="10" t="n"/>
      <c r="N34" s="10" t="n"/>
      <c r="O34" s="10" t="n"/>
      <c r="Q34" s="2" t="n"/>
    </row>
    <row r="35">
      <c r="J35" s="2" t="n"/>
      <c r="M35" s="10" t="n"/>
      <c r="N35" s="10" t="n"/>
      <c r="O35" s="10" t="n"/>
      <c r="Q35" s="2" t="n"/>
    </row>
    <row r="36">
      <c r="J36" s="2" t="n"/>
      <c r="M36" s="10" t="n"/>
      <c r="N36" s="10" t="n"/>
      <c r="O36" s="10" t="n"/>
      <c r="Q36" s="2" t="n"/>
    </row>
    <row r="37">
      <c r="J37" s="2" t="n"/>
      <c r="M37" s="10" t="n"/>
      <c r="N37" s="10" t="n"/>
      <c r="O37" s="10" t="n"/>
      <c r="Q37" s="2" t="n"/>
    </row>
    <row r="38">
      <c r="J38" s="2" t="n"/>
      <c r="M38" s="10" t="n"/>
      <c r="N38" s="10" t="n"/>
      <c r="O38" s="10" t="n"/>
      <c r="Q38" s="2" t="n"/>
    </row>
    <row r="39">
      <c r="J39" s="2" t="n"/>
      <c r="M39" s="10" t="n"/>
      <c r="N39" s="10" t="n"/>
      <c r="O39" s="10" t="n"/>
      <c r="Q39" s="2" t="n"/>
    </row>
    <row r="40">
      <c r="J40" s="2" t="n"/>
      <c r="M40" s="10" t="n"/>
      <c r="N40" s="10" t="n"/>
      <c r="O40" s="10" t="n"/>
      <c r="Q40" s="2" t="n"/>
    </row>
    <row r="41">
      <c r="J41" s="2" t="n"/>
      <c r="M41" s="10" t="n"/>
      <c r="N41" s="10" t="n"/>
      <c r="O41" s="10" t="n"/>
      <c r="Q41" s="2" t="n"/>
    </row>
    <row r="42">
      <c r="J42" s="2" t="n"/>
      <c r="M42" s="10" t="n"/>
      <c r="N42" s="10" t="n"/>
      <c r="O42" s="10" t="n"/>
      <c r="Q42" s="2" t="n"/>
    </row>
    <row r="43">
      <c r="J43" s="2" t="n"/>
      <c r="M43" s="10" t="n"/>
      <c r="N43" s="10" t="n"/>
      <c r="O43" s="10" t="n"/>
      <c r="Q43" s="2" t="n"/>
    </row>
    <row r="44">
      <c r="J44" s="2" t="n"/>
      <c r="M44" s="10" t="n"/>
      <c r="N44" s="10" t="n"/>
      <c r="O44" s="10" t="n"/>
      <c r="Q44" s="2" t="n"/>
    </row>
    <row r="45">
      <c r="J45" s="2" t="n"/>
      <c r="M45" s="10" t="n"/>
      <c r="N45" s="10" t="n"/>
      <c r="O45" s="10" t="n"/>
      <c r="Q45" s="2" t="n"/>
    </row>
    <row r="46">
      <c r="J46" s="2" t="n"/>
      <c r="M46" s="10" t="n"/>
      <c r="N46" s="10" t="n"/>
      <c r="O46" s="10" t="n"/>
      <c r="Q46" s="2" t="n"/>
    </row>
    <row r="47">
      <c r="J47" s="2" t="n"/>
      <c r="M47" s="10" t="n"/>
      <c r="N47" s="10" t="n"/>
      <c r="O47" s="10" t="n"/>
      <c r="Q47" s="2" t="n"/>
    </row>
    <row r="48">
      <c r="J48" s="2" t="n"/>
      <c r="M48" s="10" t="n"/>
      <c r="N48" s="10" t="n"/>
      <c r="O48" s="10" t="n"/>
      <c r="Q48" s="2" t="n"/>
    </row>
    <row r="49">
      <c r="J49" s="2" t="n"/>
      <c r="M49" s="10" t="n"/>
      <c r="N49" s="10" t="n"/>
      <c r="O49" s="10" t="n"/>
      <c r="Q49" s="2" t="n"/>
    </row>
    <row r="50">
      <c r="J50" s="2" t="n"/>
      <c r="M50" s="10" t="n"/>
      <c r="N50" s="10" t="n"/>
      <c r="O50" s="10" t="n"/>
      <c r="Q50" s="2" t="n"/>
    </row>
    <row r="51">
      <c r="J51" s="2" t="n"/>
      <c r="M51" s="10" t="n"/>
      <c r="N51" s="10" t="n"/>
      <c r="O51" s="10" t="n"/>
      <c r="Q51" s="2" t="n"/>
    </row>
    <row r="52">
      <c r="J52" s="2" t="n"/>
      <c r="M52" s="10" t="n"/>
      <c r="N52" s="10" t="n"/>
      <c r="O52" s="10" t="n"/>
      <c r="Q52" s="2" t="n"/>
    </row>
    <row r="53">
      <c r="J53" s="2" t="n"/>
      <c r="M53" s="10" t="n"/>
      <c r="N53" s="10" t="n"/>
      <c r="O53" s="10" t="n"/>
      <c r="Q53" s="2" t="n"/>
    </row>
    <row r="54">
      <c r="J54" s="2" t="n"/>
      <c r="M54" s="10" t="n"/>
      <c r="N54" s="10" t="n"/>
      <c r="O54" s="10" t="n"/>
      <c r="Q54" s="2" t="n"/>
    </row>
    <row r="55">
      <c r="J55" s="2" t="n"/>
      <c r="M55" s="10" t="n"/>
      <c r="N55" s="10" t="n"/>
      <c r="O55" s="10" t="n"/>
      <c r="Q55" s="2" t="n"/>
    </row>
    <row r="56">
      <c r="J56" s="2" t="n"/>
      <c r="M56" s="10" t="n"/>
      <c r="N56" s="10" t="n"/>
      <c r="O56" s="10" t="n"/>
      <c r="Q56" s="2" t="n"/>
    </row>
  </sheetData>
  <autoFilter ref="A1:Q150"/>
  <conditionalFormatting sqref="A2:Q150">
    <cfRule type="expression" priority="1" dxfId="0">
      <formula>AND($N2&lt;&gt;"",$N2&lt;=TODAY())</formula>
    </cfRule>
    <cfRule type="expression" priority="2" dxfId="1">
      <formula>$L2="Gagné"</formula>
    </cfRule>
    <cfRule type="expression" priority="3" dxfId="2">
      <formula>OR($L2="Intéressé",$L2="RDV / dégustation",$L2="Devis envoyé")</formula>
    </cfRule>
    <cfRule type="expression" priority="4" dxfId="3">
      <formula>OR($L2="Perdu",$L2="Pas maintenant")</formula>
    </cfRule>
  </conditionalFormatting>
  <dataValidations count="2">
    <dataValidation sqref="L2:L150" showDropDown="0" showInputMessage="0" showErrorMessage="0" allowBlank="1" type="list">
      <formula1>"À contacter,Brouillon prêt,Contacté,Relancé,Intéressé,RDV / dégustation,Devis envoyé,Gagné,Perdu,Pas maintenant"</formula1>
    </dataValidation>
    <dataValidation sqref="B2:B150" showDropDown="0" showInputMessage="0" showErrorMessage="0" allowBlank="1" type="list">
      <formula1>"A,B,C"</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120" customWidth="1" min="3" max="3"/>
  </cols>
  <sheetData>
    <row r="1" ht="30" customHeight="1">
      <c r="A1" s="9" t="inlineStr">
        <is>
          <t>Modèle</t>
        </is>
      </c>
      <c r="B1" s="9" t="inlineStr">
        <is>
          <t>Objet</t>
        </is>
      </c>
      <c r="C1" s="9" t="inlineStr">
        <is>
          <t>Texte (remplacer les {…})</t>
        </is>
      </c>
    </row>
    <row r="2">
      <c r="A2" s="2" t="inlineStr">
        <is>
          <t>Lieu de réception — partenariat</t>
        </is>
      </c>
      <c r="B2" s="2" t="inlineStr">
        <is>
          <t>Prestataire street food végétale pour vos mariages et réceptions ?</t>
        </is>
      </c>
      <c r="C2" s="2" t="inlineStr">
        <is>
          <t>Bonjour,
Nous sommes Yummy Street Food, le food truck vert de Virton : une street-food végétale préparée avec les légumes que nous cultivons nous-mêmes.
Nous aimerions faire partie des prestataires que vous recommandez à vos clients. Pour un vin d'honneur ou un cocktail dans votre parc, nos 5 starters à 3 € pièce plaisent beaucoup, et en fin de soirée, un snack street food sorti de la remorque fait toujours son effet.
Notre plaquette : https://yummy-streetfood.be/plaquette-evenements-yummy.pdf
Le plus simple est encore de goûter : nous pouvons passer vous déposer un plateau de starters, à vous de nous dire quand.
Toutes nos formules : https://yummy-streetfood.be/evenements-prives?src=lieux
Belle journée,
Christelle &amp; Thomas
Yummy Street Food — la street-food cultivée par la maraîchère
+32 474 60 64 51 · yummy-streetfood.be</t>
        </is>
      </c>
    </row>
    <row r="3">
      <c r="A3" s="2" t="inlineStr">
        <is>
          <t>Wedding planner — partenariat</t>
        </is>
      </c>
      <c r="B3" s="2" t="inlineStr">
        <is>
          <t>Une idée food truck végétal pour vos mariés</t>
        </is>
      </c>
      <c r="C3" s="2" t="inlineStr">
        <is>
          <t>Bonjour {prénom},
J'ai découvert votre travail et votre approche des mariages, et je pense que nous pourrions faire de beaux mariages ensemble.
Yummy Street Food, c'est une remorque vert émeraude et une cuisine végétale, locale et colorée : bowls fleuris, pitas, starters à l'apéro, avec les légumes de notre potager en Gaume. Le résultat est aussi joli que bon, ce qui compte pour vos couples.
Seriez-vous partant(e) pour un café et une dégustation ? Et bien sûr, nous recommandons volontiers vos services à nos clients en retour.
Notre offre mariage : https://yummy-streetfood.be/evenements-prives?src=planners
Au plaisir,
Christelle &amp; Thomas
Yummy Street Food — la street-food cultivée par la maraîchère
+32 474 60 64 51 · yummy-streetfood.be</t>
        </is>
      </c>
    </row>
    <row r="4">
      <c r="A4" s="2" t="inlineStr">
        <is>
          <t>Entreprise — RH / comité du personnel</t>
        </is>
      </c>
      <c r="B4" s="2" t="inlineStr">
        <is>
          <t>Fête du personnel ou family day : un food truck local pour vos équipes</t>
        </is>
      </c>
      <c r="C4" s="2" t="inlineStr">
        <is>
          <t>Bonjour {prénom},
Vous préparez peut-être déjà la fête du personnel, un family day ou un séminaire pour 2027 ?
Yummy Street Food est un food truck basé à Virton. Nous cuisinons une street-food végétale et gourmande avec les légumes de notre propre potager. Concrètement, la remorque s'installe sur votre site et sert vos équipes rapidement, sans qu'il y ait rien à organiser de votre côté.
Nous proposons par exemple :
- un lunch d'équipe ou une pause midi sur le parking ;
- un apéro avec nos 5 starters à 3 € pièce ;
- un repas complet pour une fête du personnel ou un family day.
Notre plaquette : https://yummy-streetfood.be/plaquette-evenements-yummy.pdf
Et pour un devis en deux minutes : https://yummy-streetfood.be/evenements-prives?src=entreprises
Bonne journée,
Christelle &amp; Thomas
Yummy Street Food — la street-food cultivée par la maraîchère
+32 474 60 64 51 · yummy-streetfood.be</t>
        </is>
      </c>
    </row>
    <row r="5">
      <c r="A5" s="2" t="inlineStr">
        <is>
          <t>Commune / salles communales</t>
        </is>
      </c>
      <c r="B5" s="2" t="inlineStr">
        <is>
          <t>Proposition pour les locataires de vos salles</t>
        </is>
      </c>
      <c r="C5" s="2" t="inlineStr">
        <is>
          <t>Bonjour,
Nous sommes Yummy Street Food, food truck de street-food végétale installé à Virton (vous nous avez peut-être vus au marché du vendredi).
Les personnes qui louent vos salles pour un anniversaire ou une fête de famille cherchent souvent une solution repas simple. Serait-il possible de joindre notre plaquette au dossier de location, ou de nous citer parmi les prestataires locaux ?
Nous serions aussi ravis de participer aux événements organisés par la commune.
Nos formules : https://yummy-streetfood.be/evenements-prives?src=communes
Merci d'avance et belle journée,
Christelle &amp; Thomas
Yummy Street Food — la street-food cultivée par la maraîchère
+32 474 60 64 51 · yummy-streetfood.be</t>
        </is>
      </c>
    </row>
    <row r="6">
      <c r="A6" s="2" t="inlineStr">
        <is>
          <t>Gîte de groupe</t>
        </is>
      </c>
      <c r="B6" s="2" t="inlineStr">
        <is>
          <t>Une soirée food truck pour vos groupes ?</t>
        </is>
      </c>
      <c r="C6" s="2" t="inlineStr">
        <is>
          <t>Bonjour,
Vos gîtes accueillent des groupes pour des anniversaires, des week-ends entre amis ou des réunions de famille. Pour eux, la question du repas du samedi soir revient souvent.
Nous sommes Yummy Street Food, un food truck végétal et local basé à Virton, à quelques minutes de chez vous. Nous pouvons venir cuisiner sur place pour vos hôtes (starters à l'apéro, pitas, burgers, bowls).
Seriez-vous d'accord de mentionner cette option à vos clients ? Notre plaquette : https://yummy-streetfood.be/plaquette-evenements-yummy.pdf
Lien direct pour vos clients : https://yummy-streetfood.be/evenements-prives?src=gites
Belle journée,
Christelle &amp; Thomas
Yummy Street Food — la street-food cultivée par la maraîchère
+32 474 60 64 51 · yummy-streetfood.be</t>
        </is>
      </c>
    </row>
    <row r="7">
      <c r="A7" s="2" t="inlineStr">
        <is>
          <t>Réseau d'affaires / association</t>
        </is>
      </c>
      <c r="B7" s="2" t="inlineStr">
        <is>
          <t>Yummy Street Food pour vos événements</t>
        </is>
      </c>
      <c r="C7" s="2" t="inlineStr">
        <is>
          <t>Bonjour,
Nous sommes Yummy Street Food, food truck de street-food végétale basé à Virton. Nous cuisinons les légumes que nous cultivons nous-mêmes.
Nous aimerions participer à vos prochains événements (afterworks, salons, assemblées, fêtes), comme traiteur ou comme exposant. Pourriez-vous nous indiquer la marche à suivre ou la bonne personne à contacter ?
Notre plaquette : https://yummy-streetfood.be/plaquette-evenements-yummy.pdf
Nos formules : https://yummy-streetfood.be/evenements-prives?src=reseaux
Au plaisir d'échanger,
Christelle &amp; Thomas
Yummy Street Food — la street-food cultivée par la maraîchère
+32 474 60 64 51 · yummy-streetfood.be</t>
        </is>
      </c>
    </row>
    <row r="8">
      <c r="A8" s="2" t="inlineStr">
        <is>
          <t>Relance J+7</t>
        </is>
      </c>
      <c r="B8" s="2" t="inlineStr">
        <is>
          <t>Re: {sujet initial}</t>
        </is>
      </c>
      <c r="C8" s="2" t="inlineStr">
        <is>
          <t>Bonjour,
Je me permets de revenir vers vous au sujet de mon message de la semaine dernière. Notre proposition de passer vous faire goûter nos starters tient toujours, cela prend dix minutes.
Bonne journée,
Christelle &amp; Thomas
Yummy Street Food — la street-food cultivée par la maraîchère
+32 474 60 64 51 · yummy-streetfood.be</t>
        </is>
      </c>
    </row>
    <row r="9">
      <c r="A9" s="2" t="inlineStr">
        <is>
          <t>Relance J+21 (dernière)</t>
        </is>
      </c>
      <c r="B9" s="2" t="inlineStr">
        <is>
          <t>Re: {sujet initial}</t>
        </is>
      </c>
      <c r="C9" s="2" t="inlineStr">
        <is>
          <t>Bonjour,
Dernier petit message de ma part, promis ! Si ce n'est pas le bon moment, aucun souci : je garde vos coordonnées et vous recontacterai au printemps. Et si un événement se présente d'ici là, vous savez où nous trouver.
Belle continuation,
Christelle &amp; Thomas
Yummy Street Food — la street-food cultivée par la maraîchère
+32 474 60 64 51 · yummy-streetfood.be</t>
        </is>
      </c>
    </row>
    <row r="10">
      <c r="A10" s="2" t="inlineStr">
        <is>
          <t>Après l'événement — avis + parrainage</t>
        </is>
      </c>
      <c r="B10" s="2" t="inlineStr">
        <is>
          <t>Merci pour votre confiance !</t>
        </is>
      </c>
      <c r="C10" s="2" t="inlineStr">
        <is>
          <t>Bonjour {prénom},
Merci encore de nous avoir accueillis pour {événement} ! Nous avons adoré.
Deux petites choses qui nous aideraient énormément :
1. Laisser un avis Google (deux minutes) : {lien avis Google}
2. Penser à nous si quelqu'un autour de vous prépare un mariage, un anniversaire ou une fête d'entreprise. Pour chaque événement réservé grâce à vous, {cadeau parrainage}.
À bientôt sur les marchés,
Christelle &amp; Thomas
Yummy Street Food — la street-food cultivée par la maraîchère
+32 474 60 64 51 · yummy-streetfood.be</t>
        </is>
      </c>
    </row>
    <row r="11">
      <c r="A11" s="2" t="inlineStr">
        <is>
          <t>Réponse à une demande de devis</t>
        </is>
      </c>
      <c r="B11" s="2" t="inlineStr">
        <is>
          <t>Votre événement du {date} — proposition Yummy</t>
        </is>
      </c>
      <c r="C11" s="2" t="inlineStr">
        <is>
          <t>Bonjour {prénom},
Merci pour votre demande ! Pour {nombre} invités le {date} à {lieu}, voici ce que nous vous proposons :
{détail du devis — onglet Devis}
Ce prix comprend la venue de la remorque, la préparation sur place et le service. Pour bloquer la date, il suffit de nous confirmer par retour de mail.
Si vous voulez goûter avant de décider, venez nous voir au marché (Virton le vendredi, Arlon le jeudi, de 8 h à 13 h).
Belle journée,
Christelle &amp; Thomas
Yummy Street Food — la street-food cultivée par la maraîchère
+32 474 60 64 51 · yummy-streetfood.be</t>
        </is>
      </c>
    </row>
    <row r="12">
      <c r="A12" s="2" t="inlineStr">
        <is>
          <t>Script téléphone (2 minutes)</t>
        </is>
      </c>
      <c r="B12" s="2" t="inlineStr">
        <is>
          <t>—</t>
        </is>
      </c>
      <c r="C12" s="2" t="inlineStr">
        <is>
          <t>« Bonjour, Christelle [ou Thomas] de Yummy Street Food, le food truck végétal de Virton. Je vous ai envoyé un petit mail la semaine dernière. Je vous appelle juste pour savoir à qui je dois m'adresser pour les [fêtes du personnel / mariages chez vous]. »
→ Si intéressé : « Le plus simple, c'est que je passe vous faire goûter nos starters. Plutôt mardi ou jeudi ? »
→ Si pas le moment : « Aucun souci. Je peux vous rappeler quand ? En janvier pour les événements de printemps ? » (noter la date dans « Prochaine relance »)</t>
        </is>
      </c>
    </row>
    <row r="13">
      <c r="A13" s="2" t="inlineStr">
        <is>
          <t>Message LinkedIn (RH)</t>
        </is>
      </c>
      <c r="B13" s="2" t="inlineStr">
        <is>
          <t>—</t>
        </is>
      </c>
      <c r="C13" s="2" t="inlineStr">
        <is>
          <t>Bonjour {prénom}, je suis Christelle de Yummy Street Food, un food truck végétal et local basé à Virton. Nous préparons notre saison 2027 d'événements d'entreprise (fêtes du personnel, family days, lunchs d'équipe) dans la région. Est-ce que ce type de prestation pourrait vous intéresser ? Je vous envoie notre plaquette si c'est le cas. Belle journée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110" customWidth="1" min="3" max="3"/>
  </cols>
  <sheetData>
    <row r="1" ht="30" customHeight="1">
      <c r="A1" s="9" t="inlineStr">
        <is>
          <t>Mois</t>
        </is>
      </c>
      <c r="B1" s="9" t="inlineStr">
        <is>
          <t>Cibles prioritaires</t>
        </is>
      </c>
      <c r="C1" s="9" t="inlineStr">
        <is>
          <t>Actions</t>
        </is>
      </c>
    </row>
    <row r="2">
      <c r="A2" s="2" t="inlineStr">
        <is>
          <t>Octobre 2026</t>
        </is>
      </c>
      <c r="B2" s="2" t="inlineStr">
        <is>
          <t>Lieux de réception, wedding planners, gîtes, communes</t>
        </is>
      </c>
      <c r="C2" s="2" t="inlineStr">
        <is>
          <t>Lancement : envoyer les brouillons prêts. S'inscrire comme exposant au Salon du mariage d'Arlon (ACIA). Créer la fiche Google Business Profile et les fiches sur mariages.net et eventigo.</t>
        </is>
      </c>
    </row>
    <row r="3">
      <c r="A3" s="2" t="inlineStr">
        <is>
          <t>Novembre 2026</t>
        </is>
      </c>
      <c r="B3" s="2" t="inlineStr">
        <is>
          <t>Futurs mariés 2027, wedding planners</t>
        </is>
      </c>
      <c r="C3" s="2" t="inlineStr">
        <is>
          <t>Les couples réservent leurs prestataires 9 à 15 mois avant le mariage : c'est le moment des salons du mariage. Dégustations chez les lieux partenaires.</t>
        </is>
      </c>
    </row>
    <row r="4">
      <c r="A4" s="2" t="inlineStr">
        <is>
          <t>Décembre 2026</t>
        </is>
      </c>
      <c r="B4" s="2" t="inlineStr">
        <is>
          <t>Entreprises</t>
        </is>
      </c>
      <c r="C4" s="2" t="inlineStr">
        <is>
          <t>Proposer un « drink des vœux » en janvier (les fêtes de fin d'année sont déjà réservées). Message LinkedIn aux RH.</t>
        </is>
      </c>
    </row>
    <row r="5">
      <c r="A5" s="2" t="inlineStr">
        <is>
          <t>Janvier 2027</t>
        </is>
      </c>
      <c r="B5" s="2" t="inlineStr">
        <is>
          <t>Entreprises, écoles, comités</t>
        </is>
      </c>
      <c r="C5" s="2" t="inlineStr">
        <is>
          <t>Les budgets 2027 se votent : family days et fêtes du personnel (juin à septembre). Contacter les associations de parents pour les fancy-fairs de mai-juin. Soirée des vœux de la CCILB.</t>
        </is>
      </c>
    </row>
    <row r="6">
      <c r="A6" s="2" t="inlineStr">
        <is>
          <t>Février 2027</t>
        </is>
      </c>
      <c r="B6" s="2" t="inlineStr">
        <is>
          <t>Communions, anniversaires d'été</t>
        </is>
      </c>
      <c r="C6" s="2" t="inlineStr">
        <is>
          <t>Publicité Facebook/Instagram ciblée sur 25 km autour de Virton : communions (avril-mai) et anniversaires. Relancer les « Pas maintenant ».</t>
        </is>
      </c>
    </row>
    <row r="7">
      <c r="A7" s="2" t="inlineStr">
        <is>
          <t>Mars 2027</t>
        </is>
      </c>
      <c r="B7" s="2" t="inlineStr">
        <is>
          <t>Garages, commerces, clubs</t>
        </is>
      </c>
      <c r="C7" s="2" t="inlineStr">
        <is>
          <t>Portes ouvertes des concessions auto, inaugurations, saison des clubs sportifs. Relancer les lieux de réception avant la saison.</t>
        </is>
      </c>
    </row>
    <row r="8">
      <c r="A8" s="2" t="inlineStr">
        <is>
          <t>Avril 2027</t>
        </is>
      </c>
      <c r="B8" s="2" t="inlineStr">
        <is>
          <t>EVJF/EVG, groupes en gîte</t>
        </is>
      </c>
      <c r="C8" s="2" t="inlineStr">
        <is>
          <t>Pousser l'offre « soirée food truck en gîte ». Publier des photos des premiers événements.</t>
        </is>
      </c>
    </row>
    <row r="9">
      <c r="A9" s="2" t="inlineStr">
        <is>
          <t>Mai-Juin 2027</t>
        </is>
      </c>
      <c r="B9" s="2" t="inlineStr">
        <is>
          <t>Exécution</t>
        </is>
      </c>
      <c r="C9" s="2" t="inlineStr">
        <is>
          <t>Saison des mariages et des fancy-fairs : après chaque événement, demander un avis Google et lancer le parrainage. Photos et vidéos pour les réseaux.</t>
        </is>
      </c>
    </row>
    <row r="10">
      <c r="A10" s="2" t="inlineStr">
        <is>
          <t>Juillet-Août 2027</t>
        </is>
      </c>
      <c r="B10" s="2" t="inlineStr">
        <is>
          <t>Rentrée et fin d'année</t>
        </is>
      </c>
      <c r="C10" s="2" t="inlineStr">
        <is>
          <t>Préparer les fêtes du personnel de septembre et prospecter les fêtes de fin d'année 2027 (les entreprises réservent dès septembre).</t>
        </is>
      </c>
    </row>
    <row r="11">
      <c r="A11" s="2" t="inlineStr">
        <is>
          <t>Septembre 2027</t>
        </is>
      </c>
      <c r="B11" s="2" t="inlineStr">
        <is>
          <t>Entreprises (fin d'année), mariages 2028</t>
        </is>
      </c>
      <c r="C11" s="2" t="inlineStr">
        <is>
          <t>Envoyer la campagne fêtes de fin d'année et relancer les wedding planners pour 2028. Bilan : quel canal a apporté quel chiffre d'affaires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90" customWidth="1" min="3" max="3"/>
    <col width="18" customWidth="1" min="4" max="4"/>
  </cols>
  <sheetData>
    <row r="1" ht="30" customHeight="1">
      <c r="A1" s="9" t="inlineStr">
        <is>
          <t>Canal</t>
        </is>
      </c>
      <c r="B1" s="9" t="inlineStr">
        <is>
          <t>Coût</t>
        </is>
      </c>
      <c r="C1" s="9" t="inlineStr">
        <is>
          <t>Comment l'utiliser</t>
        </is>
      </c>
      <c r="D1" s="9" t="inlineStr">
        <is>
          <t>Statut</t>
        </is>
      </c>
    </row>
    <row r="2">
      <c r="A2" s="2" t="inlineStr">
        <is>
          <t>Google Business Profile</t>
        </is>
      </c>
      <c r="B2" s="2" t="inlineStr">
        <is>
          <t>Gratuit</t>
        </is>
      </c>
      <c r="C2" s="2" t="inlineStr">
        <is>
          <t>Catégorie « Traiteur » + « Food truck », photos, lien vers /evenements-prives. Demander un avis après chaque événement.</t>
        </is>
      </c>
      <c r="D2" s="2" t="inlineStr">
        <is>
          <t>À faire</t>
        </is>
      </c>
    </row>
    <row r="3">
      <c r="A3" s="2" t="inlineStr">
        <is>
          <t>mariages.net</t>
        </is>
      </c>
      <c r="B3" s="2" t="inlineStr">
        <is>
          <t>Fiche gratuite (options payantes)</t>
        </is>
      </c>
      <c r="C3" s="2" t="inlineStr">
        <is>
          <t>Rubrique Food truck, Belgique : les couples y comparent les prestataires.</t>
        </is>
      </c>
      <c r="D3" s="2" t="inlineStr">
        <is>
          <t>À faire</t>
        </is>
      </c>
    </row>
    <row r="4">
      <c r="A4" s="2" t="inlineStr">
        <is>
          <t>eventigo.eu</t>
        </is>
      </c>
      <c r="B4" s="2" t="inlineStr">
        <is>
          <t>Commission</t>
        </is>
      </c>
      <c r="C4" s="2" t="inlineStr">
        <is>
          <t>Plateforme de réservation de food trucks qui couvre la province de Luxembourg.</t>
        </is>
      </c>
      <c r="D4" s="2" t="inlineStr">
        <is>
          <t>À faire</t>
        </is>
      </c>
    </row>
    <row r="5">
      <c r="A5" s="2" t="inlineStr">
        <is>
          <t>mariage.be</t>
        </is>
      </c>
      <c r="B5" s="2" t="inlineStr">
        <is>
          <t>Annuaire</t>
        </is>
      </c>
      <c r="C5" s="2" t="inlineStr">
        <is>
          <t>Rubrique traiteur / food truck, province de Luxembourg.</t>
        </is>
      </c>
      <c r="D5" s="2" t="inlineStr">
        <is>
          <t>À faire</t>
        </is>
      </c>
    </row>
    <row r="6">
      <c r="A6" s="2" t="inlineStr">
        <is>
          <t>Salon du mariage d'Arlon (ACIA)</t>
        </is>
      </c>
      <c r="B6" s="2" t="inlineStr">
        <is>
          <t>Stand</t>
        </is>
      </c>
      <c r="C6" s="2" t="inlineStr">
        <is>
          <t>Château du Bois d'Arlon, en novembre : stand avec dégustation des starters et collecte des contacts.</t>
        </is>
      </c>
      <c r="D6" s="2" t="inlineStr">
        <is>
          <t>À demander</t>
        </is>
      </c>
    </row>
    <row r="7">
      <c r="A7" s="2" t="inlineStr">
        <is>
          <t>Groupes Facebook locaux</t>
        </is>
      </c>
      <c r="B7" s="2" t="inlineStr">
        <is>
          <t>Gratuit</t>
        </is>
      </c>
      <c r="C7" s="2" t="inlineStr">
        <is>
          <t>Groupes de Virton, Gaume et Arlon : publier les photos des événements (sans démarchage agressif).</t>
        </is>
      </c>
      <c r="D7" s="2" t="inlineStr">
        <is>
          <t>En continu</t>
        </is>
      </c>
    </row>
    <row r="8">
      <c r="A8" s="2" t="inlineStr">
        <is>
          <t>Publicité Meta (Facebook/Instagram)</t>
        </is>
      </c>
      <c r="B8" s="2" t="inlineStr">
        <is>
          <t>Environ 5 €/jour</t>
        </is>
      </c>
      <c r="C8" s="2" t="inlineStr">
        <is>
          <t>Rayon de 25 km autour de Virton, audiences « fiancé(e)s » et parents. Lien avec ?src=meta.</t>
        </is>
      </c>
      <c r="D8" s="2" t="inlineStr">
        <is>
          <t>Février et septembre</t>
        </is>
      </c>
    </row>
    <row r="9">
      <c r="A9" s="2" t="inlineStr">
        <is>
          <t>Marchés de Virton et Arlon</t>
        </is>
      </c>
      <c r="B9" s="2" t="inlineStr">
        <is>
          <t>Déjà en place</t>
        </is>
      </c>
      <c r="C9" s="2" t="inlineStr">
        <is>
          <t>Mettre la plaquette au truck et un chevalet « Vos événements privés » avec le QR code.</t>
        </is>
      </c>
      <c r="D9" s="2" t="inlineStr">
        <is>
          <t>Maintenant</t>
        </is>
      </c>
    </row>
    <row r="10">
      <c r="A10" s="2" t="inlineStr">
        <is>
          <t>Parrainage</t>
        </is>
      </c>
      <c r="B10" s="2" t="inlineStr">
        <is>
          <t>Remise ou cadeau</t>
        </is>
      </c>
      <c r="C10" s="2" t="inlineStr">
        <is>
          <t>Pour chaque événement réservé grâce à un client : récompense à définir (ex. starters offerts).</t>
        </is>
      </c>
      <c r="D10" s="2" t="inlineStr">
        <is>
          <t>À définir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6" customWidth="1" min="1" max="1"/>
    <col width="16" customWidth="1" min="2" max="2"/>
    <col width="60" customWidth="1" min="3" max="3"/>
  </cols>
  <sheetData>
    <row r="1">
      <c r="A1" s="5" t="inlineStr">
        <is>
          <t>CALCULATEUR DE DEVIS</t>
        </is>
      </c>
      <c r="C1" t="inlineStr">
        <is>
          <t>Cases jaunes = à remplir</t>
        </is>
      </c>
    </row>
    <row r="2">
      <c r="A2" t="inlineStr">
        <is>
          <t>Nombre d'invités</t>
        </is>
      </c>
      <c r="B2" s="11" t="n">
        <v>80</v>
      </c>
      <c r="C2" t="inlineStr"/>
    </row>
    <row r="3">
      <c r="A3" t="inlineStr">
        <is>
          <t>Starters par invité</t>
        </is>
      </c>
      <c r="B3" s="11" t="n">
        <v>3</v>
      </c>
      <c r="C3" t="inlineStr">
        <is>
          <t>Apéro / vin d'honneur</t>
        </is>
      </c>
    </row>
    <row r="4">
      <c r="A4" t="inlineStr">
        <is>
          <t>Prix d'un starter (€)</t>
        </is>
      </c>
      <c r="B4" s="11" t="n">
        <v>3</v>
      </c>
      <c r="C4" t="inlineStr">
        <is>
          <t>Connu : 3 € pièce</t>
        </is>
      </c>
    </row>
    <row r="5">
      <c r="A5" t="inlineStr">
        <is>
          <t>Plat principal ? (1 = oui, 0 = non)</t>
        </is>
      </c>
      <c r="B5" s="11" t="n">
        <v>1</v>
      </c>
      <c r="C5" t="inlineStr"/>
    </row>
    <row r="6">
      <c r="A6" t="inlineStr">
        <is>
          <t>Prix du plat par invité (€)</t>
        </is>
      </c>
      <c r="B6" s="11" t="n"/>
      <c r="C6" t="inlineStr">
        <is>
          <t>À FIXER par vous</t>
        </is>
      </c>
    </row>
    <row r="7">
      <c r="A7" t="inlineStr">
        <is>
          <t>Boissons par invité (€)</t>
        </is>
      </c>
      <c r="B7" s="11" t="n"/>
      <c r="C7" t="inlineStr">
        <is>
          <t>À FIXER (0 si pas de boissons)</t>
        </is>
      </c>
    </row>
    <row r="8">
      <c r="A8" t="inlineStr">
        <is>
          <t>Forfait déplacement (€)</t>
        </is>
      </c>
      <c r="B8" s="11" t="n"/>
      <c r="C8" t="inlineStr">
        <is>
          <t>À FIXER (ex. selon la distance depuis Virton)</t>
        </is>
      </c>
    </row>
    <row r="9">
      <c r="A9" t="inlineStr">
        <is>
          <t>Minimum de prestation (€)</t>
        </is>
      </c>
      <c r="B9" s="11" t="n"/>
      <c r="C9" t="inlineStr">
        <is>
          <t>À FIXER (repère du marché : 250 à 800 €)</t>
        </is>
      </c>
    </row>
    <row r="10">
      <c r="A10" t="inlineStr"/>
      <c r="C10" t="inlineStr"/>
    </row>
    <row r="11">
      <c r="A11" t="inlineStr">
        <is>
          <t>Sous-total starters</t>
        </is>
      </c>
      <c r="B11">
        <f>B2*B3*B4</f>
        <v/>
      </c>
      <c r="C11" t="inlineStr"/>
    </row>
    <row r="12">
      <c r="A12" t="inlineStr">
        <is>
          <t>Sous-total plats</t>
        </is>
      </c>
      <c r="B12">
        <f>B2*B5*B6</f>
        <v/>
      </c>
      <c r="C12" t="inlineStr"/>
    </row>
    <row r="13">
      <c r="A13" t="inlineStr">
        <is>
          <t>Sous-total boissons</t>
        </is>
      </c>
      <c r="B13">
        <f>B2*B7</f>
        <v/>
      </c>
      <c r="C13" t="inlineStr"/>
    </row>
    <row r="14">
      <c r="A14" s="12" t="inlineStr">
        <is>
          <t>TOTAL PROPOSÉ (€)</t>
        </is>
      </c>
      <c r="B14" s="13">
        <f>MAX(B9,B11+B12+B13+B8)</f>
        <v/>
      </c>
      <c r="C14" t="inlineStr">
        <is>
          <t>Le minimum de prestation s'applique si le total est inférieur</t>
        </is>
      </c>
    </row>
    <row r="15">
      <c r="A15" s="12" t="inlineStr">
        <is>
          <t>Prix par invité (€)</t>
        </is>
      </c>
      <c r="B15" s="13">
        <f>IF(B2&gt;0,B14/B2,0)</f>
        <v/>
      </c>
      <c r="C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2026-10-13T07:43:18Z</dcterms:created>
  <dcterms:modified xmlns:dcterms="http://purl.org/dc/terms/" xmlns:xsi="http://www.w3.org/2001/XMLSchema-instance" xsi:type="dcterms:W3CDTF">2026-10-13T07:43:18Z</dcterms:modified>
</cp:coreProperties>
</file>